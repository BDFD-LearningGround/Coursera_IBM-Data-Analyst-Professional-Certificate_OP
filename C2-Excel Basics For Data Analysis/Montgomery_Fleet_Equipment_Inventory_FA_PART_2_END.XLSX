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13_ncr:1_{595020B5-25F7-4FF4-8804-556A7DB1FE32}" xr6:coauthVersionLast="47" xr6:coauthVersionMax="47" xr10:uidLastSave="{00000000-0000-0000-0000-000000000000}"/>
  <bookViews>
    <workbookView xWindow="17220" yWindow="6645" windowWidth="20295" windowHeight="12975" activeTab="2" xr2:uid="{00000000-000D-0000-FFFF-FFFF00000000}"/>
  </bookViews>
  <sheets>
    <sheet name="Montgomery_Fleet_Equipment_Inve" sheetId="1" r:id="rId1"/>
    <sheet name="Pviot2" sheetId="2" r:id="rId2"/>
    <sheet name="Pivot3" sheetId="3" r:id="rId3"/>
  </sheets>
  <definedNames>
    <definedName name="_xlnm._FilterDatabase" localSheetId="0" hidden="1">Montgomery_Fleet_Equipment_Inve!$A$1:$C$50</definedName>
  </definedNames>
  <calcPr calcId="181029"/>
  <pivotCaches>
    <pivotCache cacheId="5" r:id="rId4"/>
  </pivotCaches>
</workbook>
</file>

<file path=xl/calcChain.xml><?xml version="1.0" encoding="utf-8"?>
<calcChain xmlns="http://schemas.openxmlformats.org/spreadsheetml/2006/main">
  <c r="F5" i="1" l="1"/>
  <c r="F4" i="1"/>
  <c r="F3" i="1"/>
  <c r="F2" i="1"/>
  <c r="F1" i="1"/>
  <c r="C1048576" i="1"/>
</calcChain>
</file>

<file path=xl/sharedStrings.xml><?xml version="1.0" encoding="utf-8"?>
<sst xmlns="http://schemas.openxmlformats.org/spreadsheetml/2006/main" count="150" uniqueCount="37">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</sst>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Chen" refreshedDate="44351.835489583333" createdVersion="7" refreshedVersion="7" minRefreshableVersion="3" recordCount="49" xr:uid="{0A21FA6E-3245-493D-8711-FFD73A14DD7A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5F295-FCD4-4C81-8739-99EF0C161852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4FF5B-D892-4CA4-94EF-36756B01C305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32DEC-9B1F-49D3-859F-60CA5A7C69E2}" name="Table1" displayName="Table1" ref="A1:C50" totalsRowShown="0">
  <autoFilter ref="A1:C50" xr:uid="{17032DEC-9B1F-49D3-859F-60CA5A7C69E2}"/>
  <tableColumns count="3">
    <tableColumn id="1" xr3:uid="{CEB328AE-D849-4F43-A5D3-340B8C41CB1A}" name="Department"/>
    <tableColumn id="2" xr3:uid="{3ADEFF09-2BC9-4FB5-985F-53ADC573D7B5}" name="Equipment Class"/>
    <tableColumn id="3" xr3:uid="{7A09EACE-36BF-436D-AEE1-4263FF2999B1}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opLeftCell="A2" zoomScaleNormal="100" workbookViewId="0">
      <selection activeCell="B4" sqref="B4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29</v>
      </c>
      <c r="F1">
        <f>SUM(Table1[Equipment Count])</f>
        <v>1582</v>
      </c>
    </row>
    <row r="2" spans="1:6" x14ac:dyDescent="0.25">
      <c r="A2" t="s">
        <v>5</v>
      </c>
      <c r="B2" t="s">
        <v>6</v>
      </c>
      <c r="C2">
        <v>21</v>
      </c>
      <c r="E2" t="s">
        <v>30</v>
      </c>
      <c r="F2">
        <f>AVERAGE(Table1[Equipment Count])</f>
        <v>32.285714285714285</v>
      </c>
    </row>
    <row r="3" spans="1:6" x14ac:dyDescent="0.25">
      <c r="A3" t="s">
        <v>5</v>
      </c>
      <c r="B3" t="s">
        <v>7</v>
      </c>
      <c r="C3">
        <v>1</v>
      </c>
      <c r="E3" t="s">
        <v>31</v>
      </c>
      <c r="F3">
        <f>MIN(Table1[Equipment Count])</f>
        <v>1</v>
      </c>
    </row>
    <row r="4" spans="1:6" x14ac:dyDescent="0.25">
      <c r="A4" t="s">
        <v>5</v>
      </c>
      <c r="B4" t="s">
        <v>4</v>
      </c>
      <c r="C4">
        <v>23</v>
      </c>
      <c r="E4" t="s">
        <v>32</v>
      </c>
      <c r="F4">
        <f>MAX(Table1[Equipment Count])</f>
        <v>379</v>
      </c>
    </row>
    <row r="5" spans="1:6" x14ac:dyDescent="0.25">
      <c r="A5" t="s">
        <v>8</v>
      </c>
      <c r="B5" t="s">
        <v>4</v>
      </c>
      <c r="C5">
        <v>2</v>
      </c>
      <c r="E5" t="s">
        <v>33</v>
      </c>
      <c r="F5">
        <f>COUNT(Table1[Equipment Count])</f>
        <v>49</v>
      </c>
    </row>
    <row r="6" spans="1:6" x14ac:dyDescent="0.25">
      <c r="A6" t="s">
        <v>9</v>
      </c>
      <c r="B6" t="s">
        <v>6</v>
      </c>
      <c r="C6">
        <v>3</v>
      </c>
    </row>
    <row r="7" spans="1:6" x14ac:dyDescent="0.25">
      <c r="A7" t="s">
        <v>9</v>
      </c>
      <c r="B7" t="s">
        <v>10</v>
      </c>
      <c r="C7">
        <v>2</v>
      </c>
    </row>
    <row r="8" spans="1:6" x14ac:dyDescent="0.25">
      <c r="A8" t="s">
        <v>9</v>
      </c>
      <c r="B8" t="s">
        <v>11</v>
      </c>
      <c r="C8">
        <v>1</v>
      </c>
    </row>
    <row r="9" spans="1:6" x14ac:dyDescent="0.25">
      <c r="A9" t="s">
        <v>12</v>
      </c>
      <c r="B9" t="s">
        <v>10</v>
      </c>
      <c r="C9">
        <v>2</v>
      </c>
    </row>
    <row r="10" spans="1:6" x14ac:dyDescent="0.25">
      <c r="A10" t="s">
        <v>12</v>
      </c>
      <c r="B10" t="s">
        <v>13</v>
      </c>
      <c r="C10">
        <v>42</v>
      </c>
    </row>
    <row r="11" spans="1:6" x14ac:dyDescent="0.25">
      <c r="A11" t="s">
        <v>12</v>
      </c>
      <c r="B11" t="s">
        <v>7</v>
      </c>
      <c r="C11">
        <v>1</v>
      </c>
    </row>
    <row r="12" spans="1:6" x14ac:dyDescent="0.25">
      <c r="A12" t="s">
        <v>12</v>
      </c>
      <c r="B12" t="s">
        <v>4</v>
      </c>
      <c r="C12">
        <v>11</v>
      </c>
    </row>
    <row r="13" spans="1:6" x14ac:dyDescent="0.25">
      <c r="A13" t="s">
        <v>14</v>
      </c>
      <c r="B13" t="s">
        <v>7</v>
      </c>
      <c r="C13">
        <v>1</v>
      </c>
    </row>
    <row r="14" spans="1:6" x14ac:dyDescent="0.25">
      <c r="A14" t="s">
        <v>15</v>
      </c>
      <c r="B14" t="s">
        <v>16</v>
      </c>
      <c r="C14">
        <v>9</v>
      </c>
    </row>
    <row r="15" spans="1:6" x14ac:dyDescent="0.25">
      <c r="A15" t="s">
        <v>15</v>
      </c>
      <c r="B15" t="s">
        <v>7</v>
      </c>
      <c r="C15">
        <v>27</v>
      </c>
    </row>
    <row r="16" spans="1:6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1048576" spans="3:3" x14ac:dyDescent="0.25">
      <c r="C1048576">
        <f>SUM(C2:C1048575)</f>
        <v>1582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4DC3-5C58-43A7-9625-5EC8781A4AEE}">
  <dimension ref="A3:B25"/>
  <sheetViews>
    <sheetView workbookViewId="0">
      <selection activeCell="A24" sqref="A24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4" t="s">
        <v>16</v>
      </c>
      <c r="B5" s="3">
        <v>5</v>
      </c>
    </row>
    <row r="6" spans="1:2" x14ac:dyDescent="0.25">
      <c r="A6" s="4" t="s">
        <v>13</v>
      </c>
      <c r="B6" s="3">
        <v>248</v>
      </c>
    </row>
    <row r="7" spans="1:2" x14ac:dyDescent="0.25">
      <c r="A7" s="4" t="s">
        <v>11</v>
      </c>
      <c r="B7" s="3">
        <v>98</v>
      </c>
    </row>
    <row r="8" spans="1:2" x14ac:dyDescent="0.25">
      <c r="A8" s="4" t="s">
        <v>28</v>
      </c>
      <c r="B8" s="3">
        <v>276</v>
      </c>
    </row>
    <row r="9" spans="1:2" x14ac:dyDescent="0.25">
      <c r="A9" s="4" t="s">
        <v>6</v>
      </c>
      <c r="B9" s="3">
        <v>93</v>
      </c>
    </row>
    <row r="10" spans="1:2" x14ac:dyDescent="0.25">
      <c r="A10" s="4" t="s">
        <v>4</v>
      </c>
      <c r="B10" s="3">
        <v>37</v>
      </c>
    </row>
    <row r="11" spans="1:2" x14ac:dyDescent="0.25">
      <c r="A11" s="4" t="s">
        <v>7</v>
      </c>
      <c r="B11" s="3">
        <v>53</v>
      </c>
    </row>
    <row r="12" spans="1:2" x14ac:dyDescent="0.25">
      <c r="A12" s="4" t="s">
        <v>27</v>
      </c>
      <c r="B12" s="3">
        <v>379</v>
      </c>
    </row>
    <row r="13" spans="1:2" x14ac:dyDescent="0.25">
      <c r="A13" s="4" t="s">
        <v>10</v>
      </c>
      <c r="B13" s="3">
        <v>32</v>
      </c>
    </row>
    <row r="14" spans="1:2" x14ac:dyDescent="0.25">
      <c r="A14" s="2" t="s">
        <v>15</v>
      </c>
      <c r="B14" s="3">
        <v>109</v>
      </c>
    </row>
    <row r="15" spans="1:2" x14ac:dyDescent="0.25">
      <c r="A15" s="2" t="s">
        <v>19</v>
      </c>
      <c r="B15" s="3">
        <v>85</v>
      </c>
    </row>
    <row r="16" spans="1:2" x14ac:dyDescent="0.25">
      <c r="A16" s="2" t="s">
        <v>12</v>
      </c>
      <c r="B16" s="3">
        <v>56</v>
      </c>
    </row>
    <row r="17" spans="1:2" x14ac:dyDescent="0.25">
      <c r="A17" s="2" t="s">
        <v>5</v>
      </c>
      <c r="B17" s="3">
        <v>45</v>
      </c>
    </row>
    <row r="18" spans="1:2" x14ac:dyDescent="0.25">
      <c r="A18" s="2" t="s">
        <v>18</v>
      </c>
      <c r="B18" s="3">
        <v>35</v>
      </c>
    </row>
    <row r="19" spans="1:2" x14ac:dyDescent="0.25">
      <c r="A19" s="2" t="s">
        <v>25</v>
      </c>
      <c r="B19" s="3">
        <v>16</v>
      </c>
    </row>
    <row r="20" spans="1:2" x14ac:dyDescent="0.25">
      <c r="A20" s="2" t="s">
        <v>9</v>
      </c>
      <c r="B20" s="3">
        <v>6</v>
      </c>
    </row>
    <row r="21" spans="1:2" x14ac:dyDescent="0.25">
      <c r="A21" s="2" t="s">
        <v>24</v>
      </c>
      <c r="B21" s="3">
        <v>5</v>
      </c>
    </row>
    <row r="22" spans="1:2" x14ac:dyDescent="0.25">
      <c r="A22" s="2" t="s">
        <v>8</v>
      </c>
      <c r="B22" s="3">
        <v>2</v>
      </c>
    </row>
    <row r="23" spans="1:2" x14ac:dyDescent="0.25">
      <c r="A23" s="2" t="s">
        <v>14</v>
      </c>
      <c r="B23" s="3">
        <v>1</v>
      </c>
    </row>
    <row r="24" spans="1:2" x14ac:dyDescent="0.25">
      <c r="A24" s="2" t="s">
        <v>17</v>
      </c>
      <c r="B24" s="3">
        <v>1</v>
      </c>
    </row>
    <row r="25" spans="1:2" x14ac:dyDescent="0.2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5857-9313-4824-A9C4-5399560A70FE}">
  <dimension ref="A3:B21"/>
  <sheetViews>
    <sheetView tabSelected="1" workbookViewId="0">
      <selection activeCell="A20" sqref="A20"/>
    </sheetView>
  </sheetViews>
  <sheetFormatPr defaultRowHeight="15" x14ac:dyDescent="0.25"/>
  <cols>
    <col min="1" max="1" width="28.42578125" bestFit="1" customWidth="1"/>
    <col min="2" max="2" width="23.42578125" bestFit="1" customWidth="1"/>
    <col min="3" max="10" width="2" bestFit="1" customWidth="1"/>
    <col min="11" max="25" width="3" bestFit="1" customWidth="1"/>
    <col min="26" max="28" width="4" bestFit="1" customWidth="1"/>
    <col min="29" max="29" width="11.285156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16</v>
      </c>
      <c r="B4" s="3">
        <v>15</v>
      </c>
    </row>
    <row r="5" spans="1:2" x14ac:dyDescent="0.25">
      <c r="A5" s="4" t="s">
        <v>15</v>
      </c>
      <c r="B5" s="3">
        <v>9</v>
      </c>
    </row>
    <row r="6" spans="1:2" x14ac:dyDescent="0.25">
      <c r="A6" s="4" t="s">
        <v>25</v>
      </c>
      <c r="B6" s="3">
        <v>1</v>
      </c>
    </row>
    <row r="7" spans="1:2" x14ac:dyDescent="0.25">
      <c r="A7" s="4" t="s">
        <v>26</v>
      </c>
      <c r="B7" s="3">
        <v>5</v>
      </c>
    </row>
    <row r="8" spans="1:2" x14ac:dyDescent="0.25">
      <c r="A8" s="2" t="s">
        <v>13</v>
      </c>
      <c r="B8" s="3">
        <v>290</v>
      </c>
    </row>
    <row r="9" spans="1:2" x14ac:dyDescent="0.25">
      <c r="A9" s="2" t="s">
        <v>11</v>
      </c>
      <c r="B9" s="3">
        <v>100</v>
      </c>
    </row>
    <row r="10" spans="1:2" x14ac:dyDescent="0.25">
      <c r="A10" s="2" t="s">
        <v>28</v>
      </c>
      <c r="B10" s="3">
        <v>283</v>
      </c>
    </row>
    <row r="11" spans="1:2" x14ac:dyDescent="0.25">
      <c r="A11" s="2" t="s">
        <v>6</v>
      </c>
      <c r="B11" s="3">
        <v>150</v>
      </c>
    </row>
    <row r="12" spans="1:2" x14ac:dyDescent="0.25">
      <c r="A12" s="2" t="s">
        <v>21</v>
      </c>
      <c r="B12" s="3">
        <v>4</v>
      </c>
    </row>
    <row r="13" spans="1:2" x14ac:dyDescent="0.25">
      <c r="A13" s="2" t="s">
        <v>23</v>
      </c>
      <c r="B13" s="3">
        <v>1</v>
      </c>
    </row>
    <row r="14" spans="1:2" x14ac:dyDescent="0.25">
      <c r="A14" s="2" t="s">
        <v>22</v>
      </c>
      <c r="B14" s="3">
        <v>47</v>
      </c>
    </row>
    <row r="15" spans="1:2" x14ac:dyDescent="0.25">
      <c r="A15" s="2" t="s">
        <v>3</v>
      </c>
      <c r="B15" s="3">
        <v>20</v>
      </c>
    </row>
    <row r="16" spans="1:2" x14ac:dyDescent="0.25">
      <c r="A16" s="2" t="s">
        <v>20</v>
      </c>
      <c r="B16" s="3">
        <v>8</v>
      </c>
    </row>
    <row r="17" spans="1:2" x14ac:dyDescent="0.25">
      <c r="A17" s="2" t="s">
        <v>4</v>
      </c>
      <c r="B17" s="3">
        <v>130</v>
      </c>
    </row>
    <row r="18" spans="1:2" x14ac:dyDescent="0.25">
      <c r="A18" s="2" t="s">
        <v>7</v>
      </c>
      <c r="B18" s="3">
        <v>90</v>
      </c>
    </row>
    <row r="19" spans="1:2" x14ac:dyDescent="0.25">
      <c r="A19" s="2" t="s">
        <v>27</v>
      </c>
      <c r="B19" s="3">
        <v>379</v>
      </c>
    </row>
    <row r="20" spans="1:2" x14ac:dyDescent="0.25">
      <c r="A20" s="2" t="s">
        <v>10</v>
      </c>
      <c r="B20" s="3">
        <v>65</v>
      </c>
    </row>
    <row r="21" spans="1:2" x14ac:dyDescent="0.25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Montgomery_Fleet_Equipment_Inve</vt:lpstr>
      <vt:lpstr>Pviot2</vt:lpstr>
      <vt:lpstr>Pivot3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Chen</cp:lastModifiedBy>
  <dcterms:created xsi:type="dcterms:W3CDTF">2020-09-01T17:18:12Z</dcterms:created>
  <dcterms:modified xsi:type="dcterms:W3CDTF">2021-06-05T01:53:24Z</dcterms:modified>
</cp:coreProperties>
</file>